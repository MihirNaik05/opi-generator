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TC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<sst xmlns="http://schemas.openxmlformats.org/spreadsheetml/2006/main" count="123" uniqueCount="92">
  <si>
    <t xml:space="preserve">Name</t>
  </si>
  <si>
    <t xml:space="preserve">Type</t>
  </si>
  <si>
    <t xml:space="preserve">Alias</t>
  </si>
  <si>
    <t xml:space="preserve">IN_STS</t>
  </si>
  <si>
    <t xml:space="preserve">Light</t>
  </si>
  <si>
    <t xml:space="preserve">Light_STS</t>
  </si>
  <si>
    <t xml:space="preserve">Acquire_State</t>
  </si>
  <si>
    <t xml:space="preserve">Acquire_Start</t>
  </si>
  <si>
    <t xml:space="preserve">Acquire_Stop</t>
  </si>
  <si>
    <t xml:space="preserve">Gain</t>
  </si>
  <si>
    <t xml:space="preserve">Gain_RD</t>
  </si>
  <si>
    <t xml:space="preserve">Exposure Time</t>
  </si>
  <si>
    <t xml:space="preserve">Exposure Time RD</t>
  </si>
  <si>
    <t xml:space="preserve">Acquire Period</t>
  </si>
  <si>
    <t xml:space="preserve">Acquire Period RD</t>
  </si>
  <si>
    <t xml:space="preserve">X</t>
  </si>
  <si>
    <t xml:space="preserve">Y</t>
  </si>
  <si>
    <t xml:space="preserve">XRMS</t>
  </si>
  <si>
    <t xml:space="preserve">YRMS</t>
  </si>
  <si>
    <t xml:space="preserve">CXY</t>
  </si>
  <si>
    <t xml:space="preserve">INTEN</t>
  </si>
  <si>
    <t xml:space="preserve">CONFIG</t>
  </si>
  <si>
    <t xml:space="preserve">OPI_PATH</t>
  </si>
  <si>
    <t xml:space="preserve">OPI_MACROS</t>
  </si>
  <si>
    <t xml:space="preserve">FS_F1S1:CAM_D1000</t>
  </si>
  <si>
    <t xml:space="preserve">CAM</t>
  </si>
  <si>
    <t xml:space="preserve">PTG-0</t>
  </si>
  <si>
    <t xml:space="preserve">-</t>
  </si>
  <si>
    <t xml:space="preserve">FS_F1S1:CAM_D1000:cam1:DetectorState_RBV</t>
  </si>
  <si>
    <t xml:space="preserve">FS_F1S1:CAM_D1000:cam1:Acquire</t>
  </si>
  <si>
    <t xml:space="preserve">https://controls.ftc/opi/diag/AD/ViewerThermal.opi</t>
  </si>
  <si>
    <t xml:space="preserve">'{"NAME": "$(DEV) $(INST)", "P": "$(SYS)_$(SUB):$(DEV)_$(INST):", "DEFAULT_PATH": "/srv/data/cam/fs-f1s1-cam-d1000", "SYS": "FS", "SUBP": "F1S1", "DEV": "CAM", "INST": "D1000", "SUB": "F1S1", "DEVL": "LGT", "MJPGPORT": "11000", "INSTP": "D1000", "MJPGURL": "diag-cam-target"}' </t>
  </si>
  <si>
    <t xml:space="preserve">FS_F1S1:CAM_D1001</t>
  </si>
  <si>
    <t xml:space="preserve">PTG-1</t>
  </si>
  <si>
    <t xml:space="preserve">FS_F1S1:CAM_D1001:cam1:DetectorState_RBV</t>
  </si>
  <si>
    <t xml:space="preserve">FS_F1S1:CAM_D1001:cam1:Acquire</t>
  </si>
  <si>
    <t xml:space="preserve">'{"NAME": "$(DEV) $(INST)", "P": "$(SYS)_$(SUB):$(DEV)_$(INST):", "DEFAULT_PATH": "/srv/data/cam/fs-f1s1-cam-d1001", "SYS": "FS", "SUBP": "F1S1", "DEV": "CAM", "INST": "D1001", "SUB": "F1S1", "DEVL": "LGT", "MJPGPORT": "11001", "INSTP": "D1001", "MJPGURL": "diag-cam-target"}' </t>
  </si>
  <si>
    <t xml:space="preserve">FS_F1S1:VD_D1184</t>
  </si>
  <si>
    <t xml:space="preserve">VD</t>
  </si>
  <si>
    <t xml:space="preserve">Wedge</t>
  </si>
  <si>
    <t xml:space="preserve">FS_F1S1:LGT_D1184:ON_CMD</t>
  </si>
  <si>
    <t xml:space="preserve">FS_F1S1:LGT_D1184:ON_RCMD</t>
  </si>
  <si>
    <t xml:space="preserve">FS_F1S1:VD_D1184:cam1:DetectorState_RBV</t>
  </si>
  <si>
    <t xml:space="preserve">FS_F1S1:VD_D1184:cam1:Acquire</t>
  </si>
  <si>
    <t xml:space="preserve">https://controls.ftc/opi/diag/AD/ViewerMixedDLight.opi</t>
  </si>
  <si>
    <t xml:space="preserve">'{"NAME": "$(DEV) $(INST)", "P": "$(SYS)_$(SUB):$(DEV)_$(INST):", "DEFAULT_PATH": "/srv/data/cam/fs-f1s1-vd-d1184", "SYS": "FS", "SUBP": "F1S1", "DEV": "VD", "INST": "D1184", "SUB": "F1S1", "DEVL": "LGT", "MJPGPORT": "11184", "INSTP": "D1184", "MJPGURL": "diag-cam-target"}' </t>
  </si>
  <si>
    <t xml:space="preserve">FS_F1S2:VD_D1324</t>
  </si>
  <si>
    <t xml:space="preserve">DB0</t>
  </si>
  <si>
    <t xml:space="preserve">FS_F1S2:LGT_D1324:ON_CMD</t>
  </si>
  <si>
    <t xml:space="preserve">FS_F1S2:LGT_D1324:ON_RCMD</t>
  </si>
  <si>
    <t xml:space="preserve">FS_F1S2:VD_D1324:cam1:DetectorState_RBV</t>
  </si>
  <si>
    <t xml:space="preserve">FS_F1S2:VD_D1324:cam1:Acquire</t>
  </si>
  <si>
    <t xml:space="preserve">'{"NAME": "$(DEV) $(INST)", "P": "$(SYS)_$(SUB):$(DEV)_$(INST):", "DEFAULT_PATH": "/srv/data/cam/fs-f1s2-vd-d1324", "SYS": "FS", "SUBP": "F1S2", "DEV": "VD", "INST": "D1324", "SUB": "F1S2", "DEVL": "LGT", "MJPGPORT": "11324", "INSTP": "D1324", "MJPGURL": "diag-cam-target"}' </t>
  </si>
  <si>
    <t xml:space="preserve">FS_F1S2:VD_D1466</t>
  </si>
  <si>
    <t xml:space="preserve">DB1</t>
  </si>
  <si>
    <t xml:space="preserve">FS_F1S2:VD_D1466:LMIN_RSTS</t>
  </si>
  <si>
    <t xml:space="preserve">FS_F1S2:LGT_D1466:ON_CMD</t>
  </si>
  <si>
    <t xml:space="preserve">FS_F1S2:LGT_D1466:ON_RCMD</t>
  </si>
  <si>
    <t xml:space="preserve">FS_F1S2:VD_D1466:cam1:DetectorState_RBV</t>
  </si>
  <si>
    <t xml:space="preserve">FS_F1S2:VD_D1466:cam1:Acquire</t>
  </si>
  <si>
    <t xml:space="preserve">'{"NAME": "$(DEV) $(INST)", "P": "$(SYS)_$(SUB):$(DEV)_$(INST):", "DEFAULT_PATH": "/srv/data/cam/fs-f1s2-cam-d1466", "SYS": "FS", "SUBP": "F1S2", "DEV": "VD", "INST": "D1466", "SUB": "F1S2", "DEVL": "LGT", "MJPGPORT": "11466", "INSTP": "D1466", "MJPGURL": "diag-cam-target"}' </t>
  </si>
  <si>
    <t xml:space="preserve">FS_F2S1:VD_D1563</t>
  </si>
  <si>
    <t xml:space="preserve">DB2</t>
  </si>
  <si>
    <t xml:space="preserve">FS_F2S1:VD_D1563:LMIN_RSTS</t>
  </si>
  <si>
    <t xml:space="preserve">FS_F2S1:LGT_D1563:ON_CMD</t>
  </si>
  <si>
    <t xml:space="preserve">FS_F2S1:LGT_D1563:ON_RCMD</t>
  </si>
  <si>
    <t xml:space="preserve">FS_F2S1:VD_D1563:cam1:DetectorState_RBV</t>
  </si>
  <si>
    <t xml:space="preserve">FS_F2S1:VD_D1563:cam1:Acquire</t>
  </si>
  <si>
    <t xml:space="preserve">'{"NAME": "$(DEV) $(INST)", "P": "$(SYS)_$(SUB):$(DEV)_$(INST):", "DEFAULT_PATH": "/srv/data/cam/fs-f2s1-cam-d1563", "SYS": "FS", "SUBP": "F2S1", "DEV": "VD", "INST": "D1563", "SUB": "F2S1", "DEVL": "LGT", "MJPGPORT": "11563", "INSTP": "D1563", "MJPGURL": "diag-cam-target"}' </t>
  </si>
  <si>
    <t xml:space="preserve">FS_F2S2:VD_D1660</t>
  </si>
  <si>
    <t xml:space="preserve">DB3</t>
  </si>
  <si>
    <t xml:space="preserve">FS_F2S2:LGT_D1660:ON_CMD</t>
  </si>
  <si>
    <t xml:space="preserve">FS_F2S2:LGT_D1660:ON_RCMD</t>
  </si>
  <si>
    <t xml:space="preserve">FS_F2S2:VD_D1660:cam1:DetectorState_RBV</t>
  </si>
  <si>
    <t xml:space="preserve">FS_F2S2:VD_D1660:cam1:Acquire</t>
  </si>
  <si>
    <t xml:space="preserve">'{"NAME": "$(DEV) $(INST)", "P": "$(SYS)_$(SUB):$(DEV)_$(INST):", "DEFAULT_PATH": "/srv/data/cam/fs-f2s2-cam-d1660", "SYS": "FS", "SUBP": "F2S2", "DEV": "VD", "INST": "D1660", "SUB": "F2S2", "DEVL": "LGT", "MJPGPORT": "11660", "INSTP": "D1660", "MJPGURL": "diag-cam-target"}' </t>
  </si>
  <si>
    <t xml:space="preserve">FS_F3S1:VD_D1758</t>
  </si>
  <si>
    <t xml:space="preserve">DB4</t>
  </si>
  <si>
    <t xml:space="preserve">FS_F3S1:VD_D1758:LMIN_RSTS</t>
  </si>
  <si>
    <t xml:space="preserve">FS_F3S1:LGT_D1758:ON_CMD</t>
  </si>
  <si>
    <t xml:space="preserve">FS_F3S1:LGT_D1758:ON_RCMD</t>
  </si>
  <si>
    <t xml:space="preserve">FS_F3S1:VD_D1758:cam1:DetectorState_RBV</t>
  </si>
  <si>
    <t xml:space="preserve">FS_F3S1:VD_D1758:cam1:Acquire</t>
  </si>
  <si>
    <t xml:space="preserve">'{"NAME": "$(DEV) $(INST)", "P": "$(SYS)_$(SUB):$(DEV)_$(INST):", "DEFAULT_PATH": "/srv/data/cam/fs-f3s1-cam-d1758", "SYS": "FS", "SUBP": "F3S1", "DEV": "VD", "INST": "D1758", "SUB": "F3S1", "DEVL": "LGT", "MJPGPORT": "11758", "INSTP": "D1758", "MJPGURL": "diag-cam-target"}' </t>
  </si>
  <si>
    <t xml:space="preserve">FS_F3S2:VD_D1856</t>
  </si>
  <si>
    <t xml:space="preserve">DB5</t>
  </si>
  <si>
    <t xml:space="preserve">FS_F3S2:VD_D1856:LMIN_RSTS</t>
  </si>
  <si>
    <t xml:space="preserve">FS_F3S2:LGT_D1856:ON_CMD</t>
  </si>
  <si>
    <t xml:space="preserve">FS_F3S2:LGT_D1856:ON_RCMD</t>
  </si>
  <si>
    <t xml:space="preserve">FS_F3S2:VD_D1856:cam1:DetectorState_RBV</t>
  </si>
  <si>
    <t xml:space="preserve">FS_F3S2:VD_D1856:cam1:Acquire</t>
  </si>
  <si>
    <t xml:space="preserve">'{"NAME": "$(DEV) $(INST)", "P": "$(SYS)_$(SUB):$(DEV)_$(INST):", "DEFAULT_PATH": "/srv/data/cam/fs-f3s2-cam-d1856", "SYS": "FS", "SUBP": "F3S2", "DEV": "VD", "INST": "D1856", "SUB": "F3S2", "DEVL": "LGT", "MJPGPORT": "11856", "INSTP": "D1856", "MJPGURL": "diag-cam-target"}'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</si>
</sst>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X2" activeCellId="0" sqref="X2"/>
    </sheetView>
  </sheetViews>
  <sheetFormatPr defaultColWidth="11.66796875" defaultRowHeight="12.75" zeroHeight="false" outlineLevelRow="0" outlineLevelCol="0"/>
  <cols>
    <col collapsed="false" customWidth="true" hidden="false" outlineLevel="0" max="1" min="1" style="0" width="21.14"/>
    <col collapsed="false" customWidth="true" hidden="false" outlineLevel="0" max="2" min="2" style="0" width="5.57"/>
    <col collapsed="false" customWidth="true" hidden="false" outlineLevel="0" max="3" min="3" style="0" width="10.99"/>
    <col collapsed="false" customWidth="true" hidden="false" outlineLevel="0" max="4" min="4" style="0" width="29.29"/>
    <col collapsed="false" customWidth="true" hidden="false" outlineLevel="0" max="5" min="5" style="0" width="27.85"/>
    <col collapsed="false" customWidth="true" hidden="false" outlineLevel="0" max="6" min="6" style="0" width="29.14"/>
    <col collapsed="false" customWidth="true" hidden="false" outlineLevel="0" max="7" min="7" style="0" width="41.41"/>
    <col collapsed="false" customWidth="true" hidden="false" outlineLevel="0" max="8" min="8" style="0" width="33.41"/>
    <col collapsed="false" customWidth="true" hidden="false" outlineLevel="0" max="9" min="9" style="0" width="33.14"/>
    <col collapsed="false" customWidth="true" hidden="false" outlineLevel="0" max="10" min="10" style="0" width="28.98"/>
    <col collapsed="false" customWidth="true" hidden="false" outlineLevel="0" max="12" min="11" style="0" width="34.13"/>
    <col collapsed="false" customWidth="true" hidden="false" outlineLevel="0" max="13" min="13" style="0" width="40.57"/>
    <col collapsed="false" customWidth="true" hidden="false" outlineLevel="0" max="14" min="14" style="0" width="36.99"/>
    <col collapsed="false" customWidth="true" hidden="false" outlineLevel="0" max="16" min="15" style="0" width="28.98"/>
    <col collapsed="false" customWidth="true" hidden="false" outlineLevel="0" max="17" min="17" style="0" width="29.42"/>
    <col collapsed="false" customWidth="true" hidden="false" outlineLevel="0" max="19" min="18" style="0" width="29.57"/>
    <col collapsed="false" customWidth="true" hidden="false" outlineLevel="0" max="20" min="20" style="0" width="29.14"/>
    <col collapsed="false" customWidth="true" hidden="false" outlineLevel="0" max="21" min="21" style="0" width="29.57"/>
    <col collapsed="false" customWidth="true" hidden="false" outlineLevel="0" max="22" min="22" style="0" width="27.31"/>
    <col collapsed="false" customWidth="true" hidden="false" outlineLevel="0" max="23" min="23" style="0" width="44.58"/>
    <col collapsed="false" customWidth="true" hidden="false" outlineLevel="0" max="24" min="24" style="0" width="221.13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2.75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27</v>
      </c>
      <c r="F2" s="0" t="s">
        <v>27</v>
      </c>
      <c r="G2" s="0" t="s">
        <v>28</v>
      </c>
      <c r="H2" s="0" t="s">
        <v>29</v>
      </c>
      <c r="I2" s="0" t="s">
        <v>29</v>
      </c>
      <c r="J2" s="0" t="str">
        <f aca="false">_xlfn.CONCAT(A2,":cam1:Gain")</f>
        <v>FS_F1S1:CAM_D1000:cam1:Gain</v>
      </c>
      <c r="K2" s="0" t="str">
        <f aca="false">_xlfn.CONCAT(J2,"_RBV")</f>
        <v>FS_F1S1:CAM_D1000:cam1:Gain_RBV</v>
      </c>
      <c r="L2" s="0" t="str">
        <f aca="false">_xlfn.CONCAT(A2,":cam1:AcquireTime")</f>
        <v>FS_F1S1:CAM_D1000:cam1:AcquireTime</v>
      </c>
      <c r="M2" s="0" t="str">
        <f aca="false">_xlfn.CONCAT(L2,"_RBV")</f>
        <v>FS_F1S1:CAM_D1000:cam1:AcquireTime_RBV</v>
      </c>
      <c r="N2" s="0" t="str">
        <f aca="false">_xlfn.CONCAT(A2,":cam1:AcquirePeriod")</f>
        <v>FS_F1S1:CAM_D1000:cam1:AcquirePeriod</v>
      </c>
      <c r="O2" s="0" t="str">
        <f aca="false">_xlfn.CONCAT(N2,"_RBV")</f>
        <v>FS_F1S1:CAM_D1000:cam1:AcquirePeriod_RBV</v>
      </c>
      <c r="P2" s="0" t="str">
        <f aca="false">_xlfn.CONCAT(A2,":XCEN_RD")</f>
        <v>FS_F1S1:CAM_D1000:XCEN_RD</v>
      </c>
      <c r="Q2" s="0" t="str">
        <f aca="false">_xlfn.CONCAT(A2,":YCEN_RD")</f>
        <v>FS_F1S1:CAM_D1000:YCEN_RD</v>
      </c>
      <c r="R2" s="0" t="str">
        <f aca="false">_xlfn.CONCAT(A2,":XRMS_RD")</f>
        <v>FS_F1S1:CAM_D1000:XRMS_RD</v>
      </c>
      <c r="S2" s="0" t="str">
        <f aca="false">_xlfn.CONCAT(A2,":YRMS_RD")</f>
        <v>FS_F1S1:CAM_D1000:YRMS_RD</v>
      </c>
      <c r="T2" s="0" t="str">
        <f aca="false">_xlfn.CONCAT(A2,":CXY_RD")</f>
        <v>FS_F1S1:CAM_D1000:CXY_RD</v>
      </c>
      <c r="U2" s="0" t="str">
        <f aca="false">_xlfn.CONCAT(A2,":INTEN_RD")</f>
        <v>FS_F1S1:CAM_D1000:INTEN_RD</v>
      </c>
      <c r="V2" s="0" t="str">
        <f aca="false">_xlfn.CONCAT(A2,":CONF")</f>
        <v>FS_F1S1:CAM_D1000:CONF</v>
      </c>
      <c r="W2" s="0" t="s">
        <v>30</v>
      </c>
      <c r="X2" s="2" t="s">
        <v>31</v>
      </c>
    </row>
    <row r="3" customFormat="false" ht="12.75" hidden="false" customHeight="false" outlineLevel="0" collapsed="false">
      <c r="A3" s="2" t="s">
        <v>32</v>
      </c>
      <c r="B3" s="0" t="s">
        <v>25</v>
      </c>
      <c r="C3" s="0" t="s">
        <v>33</v>
      </c>
      <c r="D3" s="0" t="s">
        <v>27</v>
      </c>
      <c r="E3" s="0" t="s">
        <v>27</v>
      </c>
      <c r="F3" s="0" t="s">
        <v>27</v>
      </c>
      <c r="G3" s="0" t="s">
        <v>34</v>
      </c>
      <c r="H3" s="0" t="s">
        <v>35</v>
      </c>
      <c r="I3" s="0" t="s">
        <v>35</v>
      </c>
      <c r="J3" s="0" t="str">
        <f aca="false">_xlfn.CONCAT(A3,":cam1:Gain")</f>
        <v>FS_F1S1:CAM_D1001:cam1:Gain</v>
      </c>
      <c r="K3" s="0" t="str">
        <f aca="false">_xlfn.CONCAT(J3,"_RBV")</f>
        <v>FS_F1S1:CAM_D1001:cam1:Gain_RBV</v>
      </c>
      <c r="L3" s="0" t="str">
        <f aca="false">_xlfn.CONCAT(A3,":cam1:AcquireTime")</f>
        <v>FS_F1S1:CAM_D1001:cam1:AcquireTime</v>
      </c>
      <c r="M3" s="0" t="str">
        <f aca="false">_xlfn.CONCAT(L3,"_RBV")</f>
        <v>FS_F1S1:CAM_D1001:cam1:AcquireTime_RBV</v>
      </c>
      <c r="N3" s="0" t="str">
        <f aca="false">_xlfn.CONCAT(A3,":cam1:AcquirePeriod")</f>
        <v>FS_F1S1:CAM_D1001:cam1:AcquirePeriod</v>
      </c>
      <c r="O3" s="0" t="str">
        <f aca="false">_xlfn.CONCAT(N3,"_RBV")</f>
        <v>FS_F1S1:CAM_D1001:cam1:AcquirePeriod_RBV</v>
      </c>
      <c r="P3" s="0" t="str">
        <f aca="false">_xlfn.CONCAT(A3,":XCEN_RD")</f>
        <v>FS_F1S1:CAM_D1001:XCEN_RD</v>
      </c>
      <c r="Q3" s="0" t="str">
        <f aca="false">_xlfn.CONCAT(A3,":YCEN_RD")</f>
        <v>FS_F1S1:CAM_D1001:YCEN_RD</v>
      </c>
      <c r="R3" s="0" t="str">
        <f aca="false">_xlfn.CONCAT(A3,":XRMS_RD")</f>
        <v>FS_F1S1:CAM_D1001:XRMS_RD</v>
      </c>
      <c r="S3" s="0" t="str">
        <f aca="false">_xlfn.CONCAT(A3,":YRMS_RD")</f>
        <v>FS_F1S1:CAM_D1001:YRMS_RD</v>
      </c>
      <c r="T3" s="0" t="str">
        <f aca="false">_xlfn.CONCAT(A3,":CXY_RD")</f>
        <v>FS_F1S1:CAM_D1001:CXY_RD</v>
      </c>
      <c r="U3" s="0" t="str">
        <f aca="false">_xlfn.CONCAT(A3,":INTEN_RD")</f>
        <v>FS_F1S1:CAM_D1001:INTEN_RD</v>
      </c>
      <c r="V3" s="0" t="str">
        <f aca="false">_xlfn.CONCAT(A3,":CONF")</f>
        <v>FS_F1S1:CAM_D1001:CONF</v>
      </c>
      <c r="W3" s="0" t="s">
        <v>30</v>
      </c>
      <c r="X3" s="2" t="s">
        <v>36</v>
      </c>
    </row>
    <row r="4" customFormat="false" ht="12.75" hidden="false" customHeight="false" outlineLevel="0" collapsed="false">
      <c r="A4" s="2" t="s">
        <v>37</v>
      </c>
      <c r="B4" s="0" t="s">
        <v>38</v>
      </c>
      <c r="C4" s="0" t="s">
        <v>39</v>
      </c>
      <c r="D4" s="0" t="s">
        <v>27</v>
      </c>
      <c r="E4" s="0" t="s">
        <v>40</v>
      </c>
      <c r="F4" s="0" t="s">
        <v>41</v>
      </c>
      <c r="G4" s="0" t="s">
        <v>42</v>
      </c>
      <c r="H4" s="0" t="s">
        <v>43</v>
      </c>
      <c r="I4" s="0" t="s">
        <v>43</v>
      </c>
      <c r="J4" s="0" t="str">
        <f aca="false">_xlfn.CONCAT(A4,":cam1:Gain")</f>
        <v>FS_F1S1:VD_D1184:cam1:Gain</v>
      </c>
      <c r="K4" s="0" t="str">
        <f aca="false">_xlfn.CONCAT(J4,"_RBV")</f>
        <v>FS_F1S1:VD_D1184:cam1:Gain_RBV</v>
      </c>
      <c r="L4" s="0" t="str">
        <f aca="false">_xlfn.CONCAT(A4,":cam1:AcquireTime")</f>
        <v>FS_F1S1:VD_D1184:cam1:AcquireTime</v>
      </c>
      <c r="M4" s="0" t="str">
        <f aca="false">_xlfn.CONCAT(L4,"_RBV")</f>
        <v>FS_F1S1:VD_D1184:cam1:AcquireTime_RBV</v>
      </c>
      <c r="N4" s="0" t="str">
        <f aca="false">_xlfn.CONCAT(A4,":cam1:AcquirePeriod")</f>
        <v>FS_F1S1:VD_D1184:cam1:AcquirePeriod</v>
      </c>
      <c r="O4" s="0" t="str">
        <f aca="false">_xlfn.CONCAT(N4,"_RBV")</f>
        <v>FS_F1S1:VD_D1184:cam1:AcquirePeriod_RBV</v>
      </c>
      <c r="P4" s="0" t="str">
        <f aca="false">_xlfn.CONCAT(A4,":XCEN_RD")</f>
        <v>FS_F1S1:VD_D1184:XCEN_RD</v>
      </c>
      <c r="Q4" s="0" t="str">
        <f aca="false">_xlfn.CONCAT(A4,":YCEN_RD")</f>
        <v>FS_F1S1:VD_D1184:YCEN_RD</v>
      </c>
      <c r="R4" s="0" t="str">
        <f aca="false">_xlfn.CONCAT(A4,":XRMS_RD")</f>
        <v>FS_F1S1:VD_D1184:XRMS_RD</v>
      </c>
      <c r="S4" s="0" t="str">
        <f aca="false">_xlfn.CONCAT(A4,":YRMS_RD")</f>
        <v>FS_F1S1:VD_D1184:YRMS_RD</v>
      </c>
      <c r="T4" s="0" t="str">
        <f aca="false">_xlfn.CONCAT(A4,":CXY_RD")</f>
        <v>FS_F1S1:VD_D1184:CXY_RD</v>
      </c>
      <c r="U4" s="0" t="str">
        <f aca="false">_xlfn.CONCAT(A4,":INTEN_RD")</f>
        <v>FS_F1S1:VD_D1184:INTEN_RD</v>
      </c>
      <c r="V4" s="0" t="str">
        <f aca="false">_xlfn.CONCAT(A4,":CONF")</f>
        <v>FS_F1S1:VD_D1184:CONF</v>
      </c>
      <c r="W4" s="0" t="s">
        <v>44</v>
      </c>
      <c r="X4" s="2" t="s">
        <v>45</v>
      </c>
    </row>
    <row r="5" customFormat="false" ht="12.75" hidden="false" customHeight="false" outlineLevel="0" collapsed="false">
      <c r="A5" s="0" t="s">
        <v>46</v>
      </c>
      <c r="B5" s="0" t="s">
        <v>38</v>
      </c>
      <c r="C5" s="0" t="s">
        <v>47</v>
      </c>
      <c r="D5" s="0" t="s">
        <v>27</v>
      </c>
      <c r="E5" s="0" t="s">
        <v>48</v>
      </c>
      <c r="F5" s="0" t="s">
        <v>49</v>
      </c>
      <c r="G5" s="0" t="s">
        <v>50</v>
      </c>
      <c r="H5" s="0" t="s">
        <v>51</v>
      </c>
      <c r="I5" s="0" t="s">
        <v>51</v>
      </c>
      <c r="J5" s="0" t="str">
        <f aca="false">_xlfn.CONCAT(A5,":cam1:Gain")</f>
        <v>FS_F1S2:VD_D1324:cam1:Gain</v>
      </c>
      <c r="K5" s="0" t="str">
        <f aca="false">_xlfn.CONCAT(J5,"_RBV")</f>
        <v>FS_F1S2:VD_D1324:cam1:Gain_RBV</v>
      </c>
      <c r="L5" s="0" t="str">
        <f aca="false">_xlfn.CONCAT(A5,":cam1:AcquireTime")</f>
        <v>FS_F1S2:VD_D1324:cam1:AcquireTime</v>
      </c>
      <c r="M5" s="0" t="str">
        <f aca="false">_xlfn.CONCAT(L5,"_RBV")</f>
        <v>FS_F1S2:VD_D1324:cam1:AcquireTime_RBV</v>
      </c>
      <c r="N5" s="0" t="str">
        <f aca="false">_xlfn.CONCAT(A5,":cam1:AcquirePeriod")</f>
        <v>FS_F1S2:VD_D1324:cam1:AcquirePeriod</v>
      </c>
      <c r="O5" s="0" t="str">
        <f aca="false">_xlfn.CONCAT(N5,"_RBV")</f>
        <v>FS_F1S2:VD_D1324:cam1:AcquirePeriod_RBV</v>
      </c>
      <c r="P5" s="0" t="str">
        <f aca="false">_xlfn.CONCAT(A5,":XCEN_RD")</f>
        <v>FS_F1S2:VD_D1324:XCEN_RD</v>
      </c>
      <c r="Q5" s="0" t="str">
        <f aca="false">_xlfn.CONCAT(A5,":YCEN_RD")</f>
        <v>FS_F1S2:VD_D1324:YCEN_RD</v>
      </c>
      <c r="R5" s="0" t="str">
        <f aca="false">_xlfn.CONCAT(A5,":XRMS_RD")</f>
        <v>FS_F1S2:VD_D1324:XRMS_RD</v>
      </c>
      <c r="S5" s="0" t="str">
        <f aca="false">_xlfn.CONCAT(A5,":YRMS_RD")</f>
        <v>FS_F1S2:VD_D1324:YRMS_RD</v>
      </c>
      <c r="T5" s="0" t="str">
        <f aca="false">_xlfn.CONCAT(A5,":CXY_RD")</f>
        <v>FS_F1S2:VD_D1324:CXY_RD</v>
      </c>
      <c r="U5" s="0" t="str">
        <f aca="false">_xlfn.CONCAT(A5,":INTEN_RD")</f>
        <v>FS_F1S2:VD_D1324:INTEN_RD</v>
      </c>
      <c r="V5" s="0" t="str">
        <f aca="false">_xlfn.CONCAT(A5,":CONF")</f>
        <v>FS_F1S2:VD_D1324:CONF</v>
      </c>
      <c r="W5" s="0" t="s">
        <v>44</v>
      </c>
      <c r="X5" s="0" t="s">
        <v>52</v>
      </c>
    </row>
    <row r="6" customFormat="false" ht="12.75" hidden="false" customHeight="false" outlineLevel="0" collapsed="false">
      <c r="A6" s="0" t="s">
        <v>53</v>
      </c>
      <c r="B6" s="0" t="s">
        <v>38</v>
      </c>
      <c r="C6" s="0" t="s">
        <v>54</v>
      </c>
      <c r="D6" s="0" t="s">
        <v>55</v>
      </c>
      <c r="E6" s="0" t="s">
        <v>56</v>
      </c>
      <c r="F6" s="0" t="s">
        <v>57</v>
      </c>
      <c r="G6" s="0" t="s">
        <v>58</v>
      </c>
      <c r="H6" s="0" t="s">
        <v>59</v>
      </c>
      <c r="I6" s="0" t="s">
        <v>59</v>
      </c>
      <c r="J6" s="0" t="str">
        <f aca="false">_xlfn.CONCAT(A6,":cam1:Gain")</f>
        <v>FS_F1S2:VD_D1466:cam1:Gain</v>
      </c>
      <c r="K6" s="0" t="str">
        <f aca="false">_xlfn.CONCAT(J6,"_RBV")</f>
        <v>FS_F1S2:VD_D1466:cam1:Gain_RBV</v>
      </c>
      <c r="L6" s="0" t="str">
        <f aca="false">_xlfn.CONCAT(A6,":cam1:AcquireTime")</f>
        <v>FS_F1S2:VD_D1466:cam1:AcquireTime</v>
      </c>
      <c r="M6" s="0" t="str">
        <f aca="false">_xlfn.CONCAT(L6,"_RBV")</f>
        <v>FS_F1S2:VD_D1466:cam1:AcquireTime_RBV</v>
      </c>
      <c r="N6" s="0" t="str">
        <f aca="false">_xlfn.CONCAT(A6,":cam1:AcquirePeriod")</f>
        <v>FS_F1S2:VD_D1466:cam1:AcquirePeriod</v>
      </c>
      <c r="O6" s="0" t="str">
        <f aca="false">_xlfn.CONCAT(N6,"_RBV")</f>
        <v>FS_F1S2:VD_D1466:cam1:AcquirePeriod_RBV</v>
      </c>
      <c r="P6" s="0" t="str">
        <f aca="false">_xlfn.CONCAT(A6,":XCEN_RD")</f>
        <v>FS_F1S2:VD_D1466:XCEN_RD</v>
      </c>
      <c r="Q6" s="0" t="str">
        <f aca="false">_xlfn.CONCAT(A6,":YCEN_RD")</f>
        <v>FS_F1S2:VD_D1466:YCEN_RD</v>
      </c>
      <c r="R6" s="0" t="str">
        <f aca="false">_xlfn.CONCAT(A6,":XRMS_RD")</f>
        <v>FS_F1S2:VD_D1466:XRMS_RD</v>
      </c>
      <c r="S6" s="0" t="str">
        <f aca="false">_xlfn.CONCAT(A6,":YRMS_RD")</f>
        <v>FS_F1S2:VD_D1466:YRMS_RD</v>
      </c>
      <c r="T6" s="0" t="str">
        <f aca="false">_xlfn.CONCAT(A6,":CXY_RD")</f>
        <v>FS_F1S2:VD_D1466:CXY_RD</v>
      </c>
      <c r="U6" s="0" t="str">
        <f aca="false">_xlfn.CONCAT(A6,":INTEN_RD")</f>
        <v>FS_F1S2:VD_D1466:INTEN_RD</v>
      </c>
      <c r="V6" s="0" t="str">
        <f aca="false">_xlfn.CONCAT(A6,":CONF")</f>
        <v>FS_F1S2:VD_D1466:CONF</v>
      </c>
      <c r="W6" s="0" t="s">
        <v>44</v>
      </c>
      <c r="X6" s="2" t="s">
        <v>60</v>
      </c>
    </row>
    <row r="7" customFormat="false" ht="12.75" hidden="false" customHeight="false" outlineLevel="0" collapsed="false">
      <c r="A7" s="0" t="s">
        <v>61</v>
      </c>
      <c r="B7" s="0" t="s">
        <v>38</v>
      </c>
      <c r="C7" s="0" t="s">
        <v>62</v>
      </c>
      <c r="D7" s="0" t="s">
        <v>63</v>
      </c>
      <c r="E7" s="0" t="s">
        <v>64</v>
      </c>
      <c r="F7" s="0" t="s">
        <v>65</v>
      </c>
      <c r="G7" s="0" t="s">
        <v>66</v>
      </c>
      <c r="H7" s="0" t="s">
        <v>67</v>
      </c>
      <c r="I7" s="0" t="s">
        <v>67</v>
      </c>
      <c r="J7" s="0" t="str">
        <f aca="false">_xlfn.CONCAT(A7,":cam1:Gain")</f>
        <v>FS_F2S1:VD_D1563:cam1:Gain</v>
      </c>
      <c r="K7" s="0" t="str">
        <f aca="false">_xlfn.CONCAT(J7,"_RBV")</f>
        <v>FS_F2S1:VD_D1563:cam1:Gain_RBV</v>
      </c>
      <c r="L7" s="0" t="str">
        <f aca="false">_xlfn.CONCAT(A7,":cam1:AcquireTime")</f>
        <v>FS_F2S1:VD_D1563:cam1:AcquireTime</v>
      </c>
      <c r="M7" s="0" t="str">
        <f aca="false">_xlfn.CONCAT(L7,"_RBV")</f>
        <v>FS_F2S1:VD_D1563:cam1:AcquireTime_RBV</v>
      </c>
      <c r="N7" s="0" t="str">
        <f aca="false">_xlfn.CONCAT(A7,":cam1:AcquirePeriod")</f>
        <v>FS_F2S1:VD_D1563:cam1:AcquirePeriod</v>
      </c>
      <c r="O7" s="0" t="str">
        <f aca="false">_xlfn.CONCAT(N7,"_RBV")</f>
        <v>FS_F2S1:VD_D1563:cam1:AcquirePeriod_RBV</v>
      </c>
      <c r="P7" s="0" t="str">
        <f aca="false">_xlfn.CONCAT(A7,":XCEN_RD")</f>
        <v>FS_F2S1:VD_D1563:XCEN_RD</v>
      </c>
      <c r="Q7" s="0" t="str">
        <f aca="false">_xlfn.CONCAT(A7,":YCEN_RD")</f>
        <v>FS_F2S1:VD_D1563:YCEN_RD</v>
      </c>
      <c r="R7" s="0" t="str">
        <f aca="false">_xlfn.CONCAT(A7,":XRMS_RD")</f>
        <v>FS_F2S1:VD_D1563:XRMS_RD</v>
      </c>
      <c r="S7" s="0" t="str">
        <f aca="false">_xlfn.CONCAT(A7,":YRMS_RD")</f>
        <v>FS_F2S1:VD_D1563:YRMS_RD</v>
      </c>
      <c r="T7" s="0" t="str">
        <f aca="false">_xlfn.CONCAT(A7,":CXY_RD")</f>
        <v>FS_F2S1:VD_D1563:CXY_RD</v>
      </c>
      <c r="U7" s="0" t="str">
        <f aca="false">_xlfn.CONCAT(A7,":INTEN_RD")</f>
        <v>FS_F2S1:VD_D1563:INTEN_RD</v>
      </c>
      <c r="V7" s="0" t="str">
        <f aca="false">_xlfn.CONCAT(A7,":CONF")</f>
        <v>FS_F2S1:VD_D1563:CONF</v>
      </c>
      <c r="W7" s="0" t="s">
        <v>44</v>
      </c>
      <c r="X7" s="2" t="s">
        <v>68</v>
      </c>
    </row>
    <row r="8" customFormat="false" ht="12.75" hidden="false" customHeight="false" outlineLevel="0" collapsed="false">
      <c r="A8" s="0" t="s">
        <v>69</v>
      </c>
      <c r="B8" s="0" t="s">
        <v>38</v>
      </c>
      <c r="C8" s="0" t="s">
        <v>70</v>
      </c>
      <c r="D8" s="0" t="s">
        <v>27</v>
      </c>
      <c r="E8" s="0" t="s">
        <v>71</v>
      </c>
      <c r="F8" s="0" t="s">
        <v>72</v>
      </c>
      <c r="G8" s="0" t="s">
        <v>73</v>
      </c>
      <c r="H8" s="0" t="s">
        <v>74</v>
      </c>
      <c r="I8" s="0" t="s">
        <v>74</v>
      </c>
      <c r="J8" s="0" t="str">
        <f aca="false">_xlfn.CONCAT(A8,":cam1:Gain")</f>
        <v>FS_F2S2:VD_D1660:cam1:Gain</v>
      </c>
      <c r="K8" s="0" t="str">
        <f aca="false">_xlfn.CONCAT(J8,"_RBV")</f>
        <v>FS_F2S2:VD_D1660:cam1:Gain_RBV</v>
      </c>
      <c r="L8" s="0" t="str">
        <f aca="false">_xlfn.CONCAT(A8,":cam1:AcquireTime")</f>
        <v>FS_F2S2:VD_D1660:cam1:AcquireTime</v>
      </c>
      <c r="M8" s="0" t="str">
        <f aca="false">_xlfn.CONCAT(L8,"_RBV")</f>
        <v>FS_F2S2:VD_D1660:cam1:AcquireTime_RBV</v>
      </c>
      <c r="N8" s="0" t="str">
        <f aca="false">_xlfn.CONCAT(A8,":cam1:AcquirePeriod")</f>
        <v>FS_F2S2:VD_D1660:cam1:AcquirePeriod</v>
      </c>
      <c r="O8" s="0" t="str">
        <f aca="false">_xlfn.CONCAT(N8,"_RBV")</f>
        <v>FS_F2S2:VD_D1660:cam1:AcquirePeriod_RBV</v>
      </c>
      <c r="P8" s="0" t="str">
        <f aca="false">_xlfn.CONCAT(A8,":XCEN_RD")</f>
        <v>FS_F2S2:VD_D1660:XCEN_RD</v>
      </c>
      <c r="Q8" s="0" t="str">
        <f aca="false">_xlfn.CONCAT(A8,":YCEN_RD")</f>
        <v>FS_F2S2:VD_D1660:YCEN_RD</v>
      </c>
      <c r="R8" s="0" t="str">
        <f aca="false">_xlfn.CONCAT(A8,":XRMS_RD")</f>
        <v>FS_F2S2:VD_D1660:XRMS_RD</v>
      </c>
      <c r="S8" s="0" t="str">
        <f aca="false">_xlfn.CONCAT(A8,":YRMS_RD")</f>
        <v>FS_F2S2:VD_D1660:YRMS_RD</v>
      </c>
      <c r="T8" s="0" t="str">
        <f aca="false">_xlfn.CONCAT(A8,":CXY_RD")</f>
        <v>FS_F2S2:VD_D1660:CXY_RD</v>
      </c>
      <c r="U8" s="0" t="str">
        <f aca="false">_xlfn.CONCAT(A8,":INTEN_RD")</f>
        <v>FS_F2S2:VD_D1660:INTEN_RD</v>
      </c>
      <c r="V8" s="0" t="str">
        <f aca="false">_xlfn.CONCAT(A8,":CONF")</f>
        <v>FS_F2S2:VD_D1660:CONF</v>
      </c>
      <c r="W8" s="0" t="s">
        <v>44</v>
      </c>
      <c r="X8" s="2" t="s">
        <v>75</v>
      </c>
    </row>
    <row r="9" customFormat="false" ht="12.75" hidden="false" customHeight="false" outlineLevel="0" collapsed="false">
      <c r="A9" s="0" t="s">
        <v>76</v>
      </c>
      <c r="B9" s="0" t="s">
        <v>38</v>
      </c>
      <c r="C9" s="0" t="s">
        <v>77</v>
      </c>
      <c r="D9" s="0" t="s">
        <v>78</v>
      </c>
      <c r="E9" s="0" t="s">
        <v>79</v>
      </c>
      <c r="F9" s="0" t="s">
        <v>80</v>
      </c>
      <c r="G9" s="0" t="s">
        <v>81</v>
      </c>
      <c r="H9" s="0" t="s">
        <v>82</v>
      </c>
      <c r="I9" s="0" t="s">
        <v>82</v>
      </c>
      <c r="J9" s="0" t="str">
        <f aca="false">_xlfn.CONCAT(A9,":cam1:Gain")</f>
        <v>FS_F3S1:VD_D1758:cam1:Gain</v>
      </c>
      <c r="K9" s="0" t="str">
        <f aca="false">_xlfn.CONCAT(J9,"_RBV")</f>
        <v>FS_F3S1:VD_D1758:cam1:Gain_RBV</v>
      </c>
      <c r="L9" s="0" t="str">
        <f aca="false">_xlfn.CONCAT(A9,":cam1:AcquireTime")</f>
        <v>FS_F3S1:VD_D1758:cam1:AcquireTime</v>
      </c>
      <c r="M9" s="0" t="str">
        <f aca="false">_xlfn.CONCAT(L9,"_RBV")</f>
        <v>FS_F3S1:VD_D1758:cam1:AcquireTime_RBV</v>
      </c>
      <c r="N9" s="0" t="str">
        <f aca="false">_xlfn.CONCAT(A9,":cam1:AcquirePeriod")</f>
        <v>FS_F3S1:VD_D1758:cam1:AcquirePeriod</v>
      </c>
      <c r="O9" s="0" t="str">
        <f aca="false">_xlfn.CONCAT(N9,"_RBV")</f>
        <v>FS_F3S1:VD_D1758:cam1:AcquirePeriod_RBV</v>
      </c>
      <c r="P9" s="0" t="str">
        <f aca="false">_xlfn.CONCAT(A9,":XCEN_RD")</f>
        <v>FS_F3S1:VD_D1758:XCEN_RD</v>
      </c>
      <c r="Q9" s="0" t="str">
        <f aca="false">_xlfn.CONCAT(A9,":YCEN_RD")</f>
        <v>FS_F3S1:VD_D1758:YCEN_RD</v>
      </c>
      <c r="R9" s="0" t="str">
        <f aca="false">_xlfn.CONCAT(A9,":XRMS_RD")</f>
        <v>FS_F3S1:VD_D1758:XRMS_RD</v>
      </c>
      <c r="S9" s="0" t="str">
        <f aca="false">_xlfn.CONCAT(A9,":YRMS_RD")</f>
        <v>FS_F3S1:VD_D1758:YRMS_RD</v>
      </c>
      <c r="T9" s="0" t="str">
        <f aca="false">_xlfn.CONCAT(A9,":CXY_RD")</f>
        <v>FS_F3S1:VD_D1758:CXY_RD</v>
      </c>
      <c r="U9" s="0" t="str">
        <f aca="false">_xlfn.CONCAT(A9,":INTEN_RD")</f>
        <v>FS_F3S1:VD_D1758:INTEN_RD</v>
      </c>
      <c r="V9" s="0" t="str">
        <f aca="false">_xlfn.CONCAT(A9,":CONF")</f>
        <v>FS_F3S1:VD_D1758:CONF</v>
      </c>
      <c r="W9" s="0" t="s">
        <v>44</v>
      </c>
      <c r="X9" s="2" t="s">
        <v>83</v>
      </c>
    </row>
    <row r="10" customFormat="false" ht="12.75" hidden="false" customHeight="false" outlineLevel="0" collapsed="false">
      <c r="A10" s="0" t="s">
        <v>84</v>
      </c>
      <c r="B10" s="0" t="s">
        <v>38</v>
      </c>
      <c r="C10" s="0" t="s">
        <v>85</v>
      </c>
      <c r="D10" s="0" t="s">
        <v>86</v>
      </c>
      <c r="E10" s="0" t="s">
        <v>87</v>
      </c>
      <c r="F10" s="0" t="s">
        <v>88</v>
      </c>
      <c r="G10" s="0" t="s">
        <v>89</v>
      </c>
      <c r="H10" s="0" t="s">
        <v>90</v>
      </c>
      <c r="I10" s="0" t="s">
        <v>90</v>
      </c>
      <c r="J10" s="0" t="str">
        <f aca="false">_xlfn.CONCAT(A10,":cam1:Gain")</f>
        <v>FS_F3S2:VD_D1856:cam1:Gain</v>
      </c>
      <c r="K10" s="0" t="str">
        <f aca="false">_xlfn.CONCAT(J10,"_RBV")</f>
        <v>FS_F3S2:VD_D1856:cam1:Gain_RBV</v>
      </c>
      <c r="L10" s="0" t="str">
        <f aca="false">_xlfn.CONCAT(A10,":cam1:AcquireTime")</f>
        <v>FS_F3S2:VD_D1856:cam1:AcquireTime</v>
      </c>
      <c r="M10" s="0" t="str">
        <f aca="false">_xlfn.CONCAT(L10,"_RBV")</f>
        <v>FS_F3S2:VD_D1856:cam1:AcquireTime_RBV</v>
      </c>
      <c r="N10" s="0" t="str">
        <f aca="false">_xlfn.CONCAT(A10,":cam1:AcquirePeriod")</f>
        <v>FS_F3S2:VD_D1856:cam1:AcquirePeriod</v>
      </c>
      <c r="O10" s="0" t="str">
        <f aca="false">_xlfn.CONCAT(N10,"_RBV")</f>
        <v>FS_F3S2:VD_D1856:cam1:AcquirePeriod_RBV</v>
      </c>
      <c r="P10" s="0" t="str">
        <f aca="false">_xlfn.CONCAT(A10,":XCEN_RD")</f>
        <v>FS_F3S2:VD_D1856:XCEN_RD</v>
      </c>
      <c r="Q10" s="0" t="str">
        <f aca="false">_xlfn.CONCAT(A10,":YCEN_RD")</f>
        <v>FS_F3S2:VD_D1856:YCEN_RD</v>
      </c>
      <c r="R10" s="0" t="str">
        <f aca="false">_xlfn.CONCAT(A10,":XRMS_RD")</f>
        <v>FS_F3S2:VD_D1856:XRMS_RD</v>
      </c>
      <c r="S10" s="0" t="str">
        <f aca="false">_xlfn.CONCAT(A10,":YRMS_RD")</f>
        <v>FS_F3S2:VD_D1856:YRMS_RD</v>
      </c>
      <c r="T10" s="0" t="str">
        <f aca="false">_xlfn.CONCAT(A10,":CXY_RD")</f>
        <v>FS_F3S2:VD_D1856:CXY_RD</v>
      </c>
      <c r="U10" s="0" t="str">
        <f aca="false">_xlfn.CONCAT(A10,":INTEN_RD")</f>
        <v>FS_F3S2:VD_D1856:INTEN_RD</v>
      </c>
      <c r="V10" s="0" t="str">
        <f aca="false">_xlfn.CONCAT(A10,":CONF")</f>
        <v>FS_F3S2:VD_D1856:CONF</v>
      </c>
      <c r="W10" s="0" t="s">
        <v>44</v>
      </c>
      <c r="X10" s="2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5587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2022-07-19T08:44:12Z</dcterms:created>
  <dc:creator>Tong Zhang</dc:creator>
  <dc:description/>
  <dc:language>en-US</dc:language>
  <cp:lastModifiedBy/>
  <dcterms:modified xsi:type="dcterms:W3CDTF">2025-08-29T14:48:30Z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